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s35494\Desktop\Otunar\"/>
    </mc:Choice>
  </mc:AlternateContent>
  <bookViews>
    <workbookView xWindow="0" yWindow="0" windowWidth="28800" windowHeight="12435"/>
  </bookViews>
  <sheets>
    <sheet name="Parents" sheetId="1" r:id="rId1"/>
    <sheet name="Tabelle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" i="1" l="1"/>
  <c r="I16" i="1"/>
  <c r="E4" i="1" l="1"/>
  <c r="C34" i="1" l="1"/>
  <c r="S11" i="1" l="1"/>
  <c r="B4" i="1" l="1"/>
  <c r="L26" i="1" l="1"/>
  <c r="C29" i="1" l="1"/>
  <c r="C28" i="1"/>
  <c r="H16" i="1" l="1"/>
  <c r="G16" i="1"/>
  <c r="F16" i="1"/>
  <c r="D16" i="1"/>
  <c r="C16" i="1"/>
  <c r="B16" i="1"/>
  <c r="O9" i="1" l="1"/>
  <c r="O8" i="1"/>
  <c r="O7" i="1"/>
  <c r="O6" i="1"/>
  <c r="O5" i="1"/>
  <c r="O4" i="1"/>
  <c r="E16" i="1" l="1"/>
  <c r="N11" i="1"/>
  <c r="M11" i="1"/>
  <c r="L11" i="1"/>
  <c r="O11" i="1" s="1"/>
  <c r="S12" i="1" l="1"/>
</calcChain>
</file>

<file path=xl/sharedStrings.xml><?xml version="1.0" encoding="utf-8"?>
<sst xmlns="http://schemas.openxmlformats.org/spreadsheetml/2006/main" count="78" uniqueCount="70">
  <si>
    <t>Rent</t>
  </si>
  <si>
    <t>Food</t>
  </si>
  <si>
    <t>Flight</t>
  </si>
  <si>
    <t>Trolley</t>
  </si>
  <si>
    <t>Insurance</t>
  </si>
  <si>
    <t>Room rent</t>
  </si>
  <si>
    <t>Kodhanam</t>
  </si>
  <si>
    <t>May</t>
  </si>
  <si>
    <t>June</t>
  </si>
  <si>
    <t>Balance</t>
  </si>
  <si>
    <t>India</t>
  </si>
  <si>
    <t>April</t>
  </si>
  <si>
    <t>March</t>
  </si>
  <si>
    <t>February</t>
  </si>
  <si>
    <t>January</t>
  </si>
  <si>
    <t>Food + Hotel</t>
  </si>
  <si>
    <t xml:space="preserve">Swiss </t>
  </si>
  <si>
    <t>Airbnb Stay</t>
  </si>
  <si>
    <t>Car Rent</t>
  </si>
  <si>
    <t>Fuel</t>
  </si>
  <si>
    <t>Parking</t>
  </si>
  <si>
    <t>Entrance</t>
  </si>
  <si>
    <t>Italy</t>
  </si>
  <si>
    <t>France</t>
  </si>
  <si>
    <t>Germany / Austria</t>
  </si>
  <si>
    <t>July</t>
  </si>
  <si>
    <t>Total</t>
  </si>
  <si>
    <t>Expenses</t>
  </si>
  <si>
    <t>Account</t>
  </si>
  <si>
    <t>Itirenary</t>
  </si>
  <si>
    <t>Salary</t>
  </si>
  <si>
    <t>Savings</t>
  </si>
  <si>
    <t>Winsim, Insurance</t>
  </si>
  <si>
    <t>Entry Ticket</t>
  </si>
  <si>
    <t>Vatican Museum</t>
  </si>
  <si>
    <t>Florence Museum</t>
  </si>
  <si>
    <t>Venice Museum</t>
  </si>
  <si>
    <t>Eiffel Tower</t>
  </si>
  <si>
    <t>16 x3</t>
  </si>
  <si>
    <t>21 x 3</t>
  </si>
  <si>
    <t>25 x 3</t>
  </si>
  <si>
    <t>18 x 3</t>
  </si>
  <si>
    <t>30 x 3</t>
  </si>
  <si>
    <t>Colesseum, Palatine, Forum</t>
  </si>
  <si>
    <t>Pisa, Baptistry, Museum</t>
  </si>
  <si>
    <t>26 x 3</t>
  </si>
  <si>
    <t>Mona Lisa Museum</t>
  </si>
  <si>
    <t>17 x 3</t>
  </si>
  <si>
    <t>Zugspitte</t>
  </si>
  <si>
    <t>35 * 3</t>
  </si>
  <si>
    <t>SimCard</t>
  </si>
  <si>
    <t>Loan</t>
  </si>
  <si>
    <t>License</t>
  </si>
  <si>
    <t>Jaggu</t>
  </si>
  <si>
    <t>Gebührenfrei</t>
  </si>
  <si>
    <t>Medicine List</t>
  </si>
  <si>
    <t>Fever</t>
  </si>
  <si>
    <t>Cold</t>
  </si>
  <si>
    <t>Mouth Ulcer</t>
  </si>
  <si>
    <t>Dysentry</t>
  </si>
  <si>
    <t>Sugar</t>
  </si>
  <si>
    <t>Eye</t>
  </si>
  <si>
    <t>Hrishikesh</t>
  </si>
  <si>
    <t>Neuschwanstein</t>
  </si>
  <si>
    <t>13 * 3</t>
  </si>
  <si>
    <t>Königsee</t>
  </si>
  <si>
    <t xml:space="preserve">20 * 3 </t>
  </si>
  <si>
    <t xml:space="preserve">Total </t>
  </si>
  <si>
    <t>August</t>
  </si>
  <si>
    <t>Shoes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</si>
</sst>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CC339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0" fillId="2" borderId="1" xfId="0" applyFill="1" applyBorder="1"/>
    <xf numFmtId="0" fontId="0" fillId="0" borderId="0" xfId="0" applyBorder="1"/>
    <xf numFmtId="0" fontId="1" fillId="0" borderId="0" xfId="0" applyFont="1" applyBorder="1"/>
    <xf numFmtId="0" fontId="0" fillId="0" borderId="1" xfId="0" applyFill="1" applyBorder="1"/>
    <xf numFmtId="0" fontId="2" fillId="0" borderId="1" xfId="0" applyFont="1" applyBorder="1"/>
    <xf numFmtId="0" fontId="3" fillId="0" borderId="1" xfId="0" applyFont="1" applyBorder="1"/>
    <xf numFmtId="0" fontId="1" fillId="0" borderId="5" xfId="0" applyFont="1" applyFill="1" applyBorder="1"/>
    <xf numFmtId="0" fontId="1" fillId="0" borderId="0" xfId="0" applyFont="1"/>
    <xf numFmtId="0" fontId="5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0" fontId="4" fillId="0" borderId="0" xfId="0" applyFont="1"/>
    <xf numFmtId="0" fontId="2" fillId="0" borderId="2" xfId="0" applyFont="1" applyBorder="1"/>
    <xf numFmtId="0" fontId="3" fillId="0" borderId="2" xfId="0" applyFont="1" applyBorder="1"/>
    <xf numFmtId="0" fontId="0" fillId="0" borderId="2" xfId="0" applyBorder="1"/>
    <xf numFmtId="0" fontId="2" fillId="0" borderId="1" xfId="0" applyFont="1" applyFill="1" applyBorder="1"/>
    <xf numFmtId="0" fontId="3" fillId="0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CC33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U34"/>
  <sheetViews>
    <sheetView tabSelected="1" workbookViewId="0">
      <selection activeCell="Q30" sqref="Q30"/>
    </sheetView>
  </sheetViews>
  <sheetFormatPr baseColWidth="10" defaultColWidth="11.5703125" defaultRowHeight="15" x14ac:dyDescent="0.25"/>
  <cols>
    <col min="1" max="1" width="26" bestFit="1" customWidth="1"/>
    <col min="2" max="3" width="9.42578125" customWidth="1"/>
    <col min="4" max="4" width="7.28515625" customWidth="1"/>
    <col min="5" max="5" width="9.140625" customWidth="1"/>
    <col min="6" max="6" width="8.42578125" customWidth="1"/>
    <col min="7" max="7" width="8.28515625" customWidth="1"/>
    <col min="8" max="8" width="9.5703125" customWidth="1"/>
    <col min="9" max="10" width="8.5703125" customWidth="1"/>
    <col min="14" max="14" width="17.140625" customWidth="1"/>
    <col min="15" max="15" width="12.140625" customWidth="1"/>
    <col min="17" max="17" width="7.5703125" customWidth="1"/>
    <col min="21" max="21" width="13.140625" customWidth="1"/>
  </cols>
  <sheetData>
    <row r="2" spans="1:21" x14ac:dyDescent="0.25">
      <c r="A2" s="20" t="s">
        <v>31</v>
      </c>
      <c r="B2" s="20"/>
      <c r="C2" s="20"/>
      <c r="D2" s="20"/>
      <c r="E2" s="20"/>
      <c r="F2" s="20"/>
      <c r="G2" s="20"/>
      <c r="H2" s="21"/>
      <c r="K2" s="22" t="s">
        <v>29</v>
      </c>
      <c r="L2" s="23"/>
      <c r="M2" s="23"/>
      <c r="N2" s="23"/>
      <c r="O2" s="23"/>
      <c r="P2" s="24"/>
      <c r="R2" s="22" t="s">
        <v>27</v>
      </c>
      <c r="S2" s="24"/>
      <c r="U2" t="s">
        <v>55</v>
      </c>
    </row>
    <row r="3" spans="1:21" x14ac:dyDescent="0.25">
      <c r="A3" s="1"/>
      <c r="B3" s="7" t="s">
        <v>14</v>
      </c>
      <c r="C3" s="7" t="s">
        <v>13</v>
      </c>
      <c r="D3" s="7" t="s">
        <v>12</v>
      </c>
      <c r="E3" s="7" t="s">
        <v>11</v>
      </c>
      <c r="F3" s="7" t="s">
        <v>7</v>
      </c>
      <c r="G3" s="15" t="s">
        <v>8</v>
      </c>
      <c r="H3" s="7" t="s">
        <v>25</v>
      </c>
      <c r="I3" s="18" t="s">
        <v>68</v>
      </c>
      <c r="K3" s="1"/>
      <c r="L3" s="2" t="s">
        <v>16</v>
      </c>
      <c r="M3" s="2" t="s">
        <v>23</v>
      </c>
      <c r="N3" s="2" t="s">
        <v>24</v>
      </c>
      <c r="O3" s="2" t="s">
        <v>26</v>
      </c>
      <c r="R3" s="2" t="s">
        <v>28</v>
      </c>
      <c r="S3" s="2">
        <f>SUM(B16:I16)</f>
        <v>6327</v>
      </c>
      <c r="U3" t="s">
        <v>56</v>
      </c>
    </row>
    <row r="4" spans="1:21" x14ac:dyDescent="0.25">
      <c r="A4" s="8" t="s">
        <v>30</v>
      </c>
      <c r="B4" s="8">
        <f>2394+350</f>
        <v>2744</v>
      </c>
      <c r="C4" s="8">
        <v>2364</v>
      </c>
      <c r="D4" s="8">
        <v>2364</v>
      </c>
      <c r="E4" s="8">
        <f>2364+1450</f>
        <v>3814</v>
      </c>
      <c r="F4" s="8">
        <v>2364</v>
      </c>
      <c r="G4" s="16">
        <v>2364</v>
      </c>
      <c r="H4" s="8">
        <v>2364</v>
      </c>
      <c r="I4" s="19">
        <v>2364</v>
      </c>
      <c r="K4" s="1" t="s">
        <v>17</v>
      </c>
      <c r="L4" s="1">
        <v>350</v>
      </c>
      <c r="M4" s="1">
        <v>140</v>
      </c>
      <c r="N4" s="1">
        <v>180</v>
      </c>
      <c r="O4" s="1">
        <f t="shared" ref="O4:O9" si="0">SUM(L4:N4)</f>
        <v>670</v>
      </c>
      <c r="R4" s="3" t="s">
        <v>2</v>
      </c>
      <c r="S4" s="3">
        <v>1620</v>
      </c>
      <c r="U4" t="s">
        <v>57</v>
      </c>
    </row>
    <row r="5" spans="1:21" x14ac:dyDescent="0.25">
      <c r="A5" s="1"/>
      <c r="B5" s="1"/>
      <c r="C5" s="1"/>
      <c r="D5" s="1"/>
      <c r="E5" s="1"/>
      <c r="F5" s="1"/>
      <c r="G5" s="17"/>
      <c r="H5" s="1"/>
      <c r="I5" s="1"/>
      <c r="K5" s="1" t="s">
        <v>18</v>
      </c>
      <c r="L5" s="1">
        <v>150</v>
      </c>
      <c r="M5" s="1">
        <v>300</v>
      </c>
      <c r="N5" s="1">
        <v>120</v>
      </c>
      <c r="O5" s="1">
        <f t="shared" si="0"/>
        <v>570</v>
      </c>
      <c r="R5" s="1" t="s">
        <v>69</v>
      </c>
      <c r="S5" s="1">
        <v>60</v>
      </c>
      <c r="U5" t="s">
        <v>58</v>
      </c>
    </row>
    <row r="6" spans="1:21" x14ac:dyDescent="0.25">
      <c r="A6" s="1" t="s">
        <v>10</v>
      </c>
      <c r="B6" s="1">
        <v>575</v>
      </c>
      <c r="C6" s="1">
        <v>650</v>
      </c>
      <c r="D6" s="1">
        <v>600</v>
      </c>
      <c r="E6" s="1">
        <v>600</v>
      </c>
      <c r="F6" s="1">
        <v>650</v>
      </c>
      <c r="G6" s="17">
        <v>600</v>
      </c>
      <c r="H6" s="1">
        <v>400</v>
      </c>
      <c r="I6" s="6">
        <v>400</v>
      </c>
      <c r="K6" s="1" t="s">
        <v>1</v>
      </c>
      <c r="L6" s="1">
        <v>150</v>
      </c>
      <c r="M6" s="1">
        <v>150</v>
      </c>
      <c r="N6" s="1">
        <v>100</v>
      </c>
      <c r="O6" s="1">
        <f t="shared" si="0"/>
        <v>400</v>
      </c>
      <c r="R6" s="1" t="s">
        <v>3</v>
      </c>
      <c r="S6" s="1">
        <v>120</v>
      </c>
      <c r="U6" t="s">
        <v>59</v>
      </c>
    </row>
    <row r="7" spans="1:21" x14ac:dyDescent="0.25">
      <c r="A7" s="1" t="s">
        <v>0</v>
      </c>
      <c r="B7" s="1">
        <v>300</v>
      </c>
      <c r="C7" s="1">
        <v>300</v>
      </c>
      <c r="D7" s="1">
        <v>300</v>
      </c>
      <c r="E7" s="1">
        <v>300</v>
      </c>
      <c r="F7" s="1">
        <v>300</v>
      </c>
      <c r="G7" s="17">
        <v>300</v>
      </c>
      <c r="H7" s="1">
        <v>300</v>
      </c>
      <c r="I7" s="6">
        <v>300</v>
      </c>
      <c r="K7" s="1" t="s">
        <v>19</v>
      </c>
      <c r="L7" s="1">
        <v>50</v>
      </c>
      <c r="M7" s="1">
        <v>0</v>
      </c>
      <c r="N7" s="1">
        <v>30</v>
      </c>
      <c r="O7" s="1">
        <f t="shared" si="0"/>
        <v>80</v>
      </c>
      <c r="R7" s="1" t="s">
        <v>4</v>
      </c>
      <c r="S7" s="1">
        <v>150</v>
      </c>
      <c r="U7" t="s">
        <v>60</v>
      </c>
    </row>
    <row r="8" spans="1:21" x14ac:dyDescent="0.25">
      <c r="A8" s="1" t="s">
        <v>15</v>
      </c>
      <c r="B8" s="1">
        <v>50</v>
      </c>
      <c r="C8" s="1">
        <v>120</v>
      </c>
      <c r="D8" s="1">
        <v>120</v>
      </c>
      <c r="E8" s="1">
        <v>100</v>
      </c>
      <c r="F8" s="1">
        <v>100</v>
      </c>
      <c r="G8" s="17">
        <v>100</v>
      </c>
      <c r="H8" s="1">
        <v>100</v>
      </c>
      <c r="I8" s="6">
        <v>100</v>
      </c>
      <c r="K8" s="1" t="s">
        <v>20</v>
      </c>
      <c r="L8" s="1">
        <v>50</v>
      </c>
      <c r="M8" s="1">
        <v>0</v>
      </c>
      <c r="N8" s="1">
        <v>30</v>
      </c>
      <c r="O8" s="1">
        <f t="shared" si="0"/>
        <v>80</v>
      </c>
      <c r="R8" s="1" t="s">
        <v>5</v>
      </c>
      <c r="S8" s="1">
        <v>200</v>
      </c>
      <c r="U8" t="s">
        <v>61</v>
      </c>
    </row>
    <row r="9" spans="1:21" x14ac:dyDescent="0.25">
      <c r="A9" s="1" t="s">
        <v>6</v>
      </c>
      <c r="B9" s="1">
        <v>13</v>
      </c>
      <c r="C9" s="1">
        <v>19</v>
      </c>
      <c r="D9" s="1">
        <v>13</v>
      </c>
      <c r="E9" s="1">
        <v>13</v>
      </c>
      <c r="F9" s="1">
        <v>13</v>
      </c>
      <c r="G9" s="17">
        <v>13</v>
      </c>
      <c r="H9" s="1">
        <v>13</v>
      </c>
      <c r="I9" s="6">
        <v>13</v>
      </c>
      <c r="K9" s="1" t="s">
        <v>21</v>
      </c>
      <c r="L9" s="1">
        <v>350</v>
      </c>
      <c r="M9" s="3">
        <v>130</v>
      </c>
      <c r="N9" s="3">
        <v>100</v>
      </c>
      <c r="O9" s="1">
        <f t="shared" si="0"/>
        <v>580</v>
      </c>
      <c r="R9" s="1" t="s">
        <v>1</v>
      </c>
      <c r="S9" s="1">
        <v>250</v>
      </c>
      <c r="U9" t="s">
        <v>62</v>
      </c>
    </row>
    <row r="10" spans="1:21" x14ac:dyDescent="0.25">
      <c r="A10" s="1" t="s">
        <v>51</v>
      </c>
      <c r="B10" s="1">
        <v>688</v>
      </c>
      <c r="C10" s="1">
        <v>688</v>
      </c>
      <c r="D10" s="1">
        <v>688</v>
      </c>
      <c r="E10" s="1">
        <v>688</v>
      </c>
      <c r="F10" s="1">
        <v>688</v>
      </c>
      <c r="G10" s="17">
        <v>688</v>
      </c>
      <c r="H10" s="1">
        <v>688</v>
      </c>
      <c r="I10" s="6">
        <v>688</v>
      </c>
      <c r="K10" s="1"/>
      <c r="L10" s="1"/>
      <c r="M10" s="1"/>
      <c r="N10" s="1"/>
      <c r="O10" s="1"/>
      <c r="R10" s="1" t="s">
        <v>50</v>
      </c>
      <c r="S10" s="1">
        <v>25</v>
      </c>
    </row>
    <row r="11" spans="1:21" x14ac:dyDescent="0.25">
      <c r="A11" s="6" t="s">
        <v>52</v>
      </c>
      <c r="B11" s="6">
        <v>950</v>
      </c>
      <c r="C11" s="6"/>
      <c r="D11" s="6"/>
      <c r="E11" s="1"/>
      <c r="F11" s="1"/>
      <c r="G11" s="17"/>
      <c r="H11" s="1"/>
      <c r="I11" s="1"/>
      <c r="K11" s="1"/>
      <c r="L11" s="1">
        <f>SUM(L4:L9)</f>
        <v>1100</v>
      </c>
      <c r="M11" s="1">
        <f>SUM(M4:M9)</f>
        <v>720</v>
      </c>
      <c r="N11" s="1">
        <f>SUM(N4:N9)</f>
        <v>560</v>
      </c>
      <c r="O11" s="2">
        <f>L11+M11+N11</f>
        <v>2380</v>
      </c>
      <c r="R11" s="9" t="s">
        <v>67</v>
      </c>
      <c r="S11" s="10">
        <f>SUM(S4:S10)</f>
        <v>2425</v>
      </c>
    </row>
    <row r="12" spans="1:21" x14ac:dyDescent="0.25">
      <c r="A12" s="6" t="s">
        <v>53</v>
      </c>
      <c r="B12" s="6"/>
      <c r="C12" s="6"/>
      <c r="D12" s="6"/>
      <c r="E12" s="1"/>
      <c r="F12" s="1"/>
      <c r="G12" s="17"/>
      <c r="H12" s="1"/>
      <c r="I12" s="1"/>
      <c r="K12" s="4"/>
      <c r="L12" s="4"/>
      <c r="M12" s="4"/>
      <c r="N12" s="4"/>
      <c r="O12" s="4"/>
      <c r="P12" s="5"/>
      <c r="R12" s="2" t="s">
        <v>9</v>
      </c>
      <c r="S12" s="2">
        <f>S3-SUM(S4:S10)</f>
        <v>3902</v>
      </c>
    </row>
    <row r="13" spans="1:21" x14ac:dyDescent="0.25">
      <c r="A13" s="6" t="s">
        <v>54</v>
      </c>
      <c r="B13" s="6">
        <v>90</v>
      </c>
      <c r="C13" s="6"/>
      <c r="D13" s="6"/>
      <c r="E13" s="1"/>
      <c r="F13" s="1"/>
      <c r="G13" s="17"/>
      <c r="H13" s="1"/>
      <c r="I13" s="1"/>
      <c r="K13" s="4"/>
      <c r="L13" s="4"/>
      <c r="M13" s="4"/>
      <c r="N13" s="4"/>
      <c r="O13" s="4"/>
      <c r="P13" s="5"/>
      <c r="R13" s="5"/>
      <c r="S13" s="5"/>
    </row>
    <row r="14" spans="1:21" x14ac:dyDescent="0.25">
      <c r="A14" s="1" t="s">
        <v>32</v>
      </c>
      <c r="B14" s="1">
        <v>12</v>
      </c>
      <c r="C14" s="1">
        <v>12</v>
      </c>
      <c r="D14" s="1">
        <v>12</v>
      </c>
      <c r="E14" s="1">
        <v>12</v>
      </c>
      <c r="F14" s="1">
        <v>12</v>
      </c>
      <c r="G14" s="17">
        <v>12</v>
      </c>
      <c r="H14" s="1">
        <v>12</v>
      </c>
      <c r="I14" s="1">
        <v>12</v>
      </c>
      <c r="K14" s="4"/>
      <c r="L14" s="4"/>
      <c r="M14" s="4"/>
      <c r="N14" s="4"/>
      <c r="O14" s="4"/>
      <c r="P14" s="5"/>
      <c r="R14" s="5"/>
      <c r="S14" s="5"/>
    </row>
    <row r="15" spans="1:21" x14ac:dyDescent="0.25">
      <c r="H15" s="1"/>
      <c r="I15" s="1"/>
    </row>
    <row r="16" spans="1:21" x14ac:dyDescent="0.25">
      <c r="B16" s="1">
        <f t="shared" ref="B16:H16" si="1">B4-SUM(B6:B14)</f>
        <v>66</v>
      </c>
      <c r="C16" s="1">
        <f t="shared" si="1"/>
        <v>575</v>
      </c>
      <c r="D16" s="1">
        <f t="shared" si="1"/>
        <v>631</v>
      </c>
      <c r="E16" s="1">
        <f t="shared" si="1"/>
        <v>2101</v>
      </c>
      <c r="F16" s="1">
        <f t="shared" si="1"/>
        <v>601</v>
      </c>
      <c r="G16" s="17">
        <f t="shared" si="1"/>
        <v>651</v>
      </c>
      <c r="H16" s="1">
        <f t="shared" si="1"/>
        <v>851</v>
      </c>
      <c r="I16" s="1">
        <f>SUM(I4-(I6+I7+I8+I9+I10 + I14))</f>
        <v>851</v>
      </c>
    </row>
    <row r="18" spans="1:12" x14ac:dyDescent="0.25">
      <c r="L18" s="11" t="s">
        <v>22</v>
      </c>
    </row>
    <row r="19" spans="1:12" x14ac:dyDescent="0.25">
      <c r="K19" s="1" t="s">
        <v>17</v>
      </c>
      <c r="L19" s="12">
        <v>400</v>
      </c>
    </row>
    <row r="20" spans="1:12" x14ac:dyDescent="0.25">
      <c r="A20" s="25" t="s">
        <v>33</v>
      </c>
      <c r="B20" s="25"/>
      <c r="C20" s="25"/>
      <c r="K20" s="1" t="s">
        <v>18</v>
      </c>
      <c r="L20" s="12">
        <v>450</v>
      </c>
    </row>
    <row r="21" spans="1:12" x14ac:dyDescent="0.25">
      <c r="K21" s="1" t="s">
        <v>1</v>
      </c>
      <c r="L21" s="13">
        <v>200</v>
      </c>
    </row>
    <row r="22" spans="1:12" x14ac:dyDescent="0.25">
      <c r="A22" s="14" t="s">
        <v>43</v>
      </c>
      <c r="B22" s="14" t="s">
        <v>38</v>
      </c>
      <c r="C22" s="14">
        <v>48</v>
      </c>
      <c r="K22" s="1" t="s">
        <v>19</v>
      </c>
      <c r="L22" s="13">
        <v>0</v>
      </c>
    </row>
    <row r="23" spans="1:12" x14ac:dyDescent="0.25">
      <c r="A23" s="14" t="s">
        <v>34</v>
      </c>
      <c r="B23" s="14" t="s">
        <v>39</v>
      </c>
      <c r="C23" s="14">
        <v>63</v>
      </c>
      <c r="K23" s="1" t="s">
        <v>20</v>
      </c>
      <c r="L23" s="13">
        <v>0</v>
      </c>
    </row>
    <row r="24" spans="1:12" x14ac:dyDescent="0.25">
      <c r="A24" s="14" t="s">
        <v>44</v>
      </c>
      <c r="B24" s="14" t="s">
        <v>40</v>
      </c>
      <c r="C24" s="14">
        <v>75</v>
      </c>
      <c r="K24" s="1" t="s">
        <v>21</v>
      </c>
      <c r="L24" s="12">
        <v>290</v>
      </c>
    </row>
    <row r="25" spans="1:12" x14ac:dyDescent="0.25">
      <c r="A25" s="14" t="s">
        <v>35</v>
      </c>
      <c r="B25" s="14" t="s">
        <v>41</v>
      </c>
      <c r="C25" s="14">
        <v>54</v>
      </c>
      <c r="L25" s="13"/>
    </row>
    <row r="26" spans="1:12" x14ac:dyDescent="0.25">
      <c r="A26" s="14" t="s">
        <v>36</v>
      </c>
      <c r="B26" s="14" t="s">
        <v>42</v>
      </c>
      <c r="C26" s="14">
        <v>90</v>
      </c>
      <c r="L26" s="13">
        <f>SUM(L19:L24)</f>
        <v>1340</v>
      </c>
    </row>
    <row r="28" spans="1:12" x14ac:dyDescent="0.25">
      <c r="A28" t="s">
        <v>37</v>
      </c>
      <c r="B28" t="s">
        <v>45</v>
      </c>
      <c r="C28">
        <f>26*3</f>
        <v>78</v>
      </c>
    </row>
    <row r="29" spans="1:12" x14ac:dyDescent="0.25">
      <c r="A29" t="s">
        <v>46</v>
      </c>
      <c r="B29" t="s">
        <v>47</v>
      </c>
      <c r="C29">
        <f>51</f>
        <v>51</v>
      </c>
    </row>
    <row r="30" spans="1:12" x14ac:dyDescent="0.25">
      <c r="A30" t="s">
        <v>48</v>
      </c>
      <c r="B30" t="s">
        <v>49</v>
      </c>
      <c r="C30">
        <v>105</v>
      </c>
    </row>
    <row r="31" spans="1:12" x14ac:dyDescent="0.25">
      <c r="A31" t="s">
        <v>63</v>
      </c>
      <c r="B31" t="s">
        <v>64</v>
      </c>
      <c r="C31">
        <v>39</v>
      </c>
    </row>
    <row r="32" spans="1:12" x14ac:dyDescent="0.25">
      <c r="A32" t="s">
        <v>65</v>
      </c>
      <c r="B32" t="s">
        <v>66</v>
      </c>
      <c r="C32">
        <v>60</v>
      </c>
    </row>
    <row r="34" spans="2:3" x14ac:dyDescent="0.25">
      <c r="B34" t="s">
        <v>26</v>
      </c>
      <c r="C34">
        <f>SUM(C28:C32)</f>
        <v>333</v>
      </c>
    </row>
  </sheetData>
  <mergeCells count="4">
    <mergeCell ref="A2:H2"/>
    <mergeCell ref="K2:P2"/>
    <mergeCell ref="R2:S2"/>
    <mergeCell ref="A20:C20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10" sqref="G1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Parents</vt:lpstr>
      <vt:lpstr>Tabelle1</vt:lpstr>
    </vt:vector>
  </TitlesOfParts>
  <Company>EKS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Thiruvikraman Sourirajalu - TS35494</dc:creator>
  <cp:lastModifiedBy>Thiruvikraman Sourirajalu - TS35494</cp:lastModifiedBy>
  <dcterms:created xsi:type="dcterms:W3CDTF">2020-01-20T09:55:21Z</dcterms:created>
  <dcterms:modified xsi:type="dcterms:W3CDTF">2020-03-09T09:57:50Z</dcterms:modified>
</cp:coreProperties>
</file>